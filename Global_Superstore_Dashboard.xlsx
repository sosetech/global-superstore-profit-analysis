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ene Somto\Claude\Projects\Data Analyst Portfolio Sprint\"/>
    </mc:Choice>
  </mc:AlternateContent>
  <xr:revisionPtr revIDLastSave="0" documentId="13_ncr:1_{C82817E2-8B4B-452D-8022-84E72062C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Yearly Trend" sheetId="2" r:id="rId2"/>
    <sheet name="_ChartData" sheetId="3" state="hidden" r:id="rId3"/>
    <sheet name="Sub-Category Analysis" sheetId="4" r:id="rId4"/>
    <sheet name="Findings &amp; Recommendations" sheetId="5" r:id="rId5"/>
    <sheet name="Discount Analysi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<sst xmlns="http://schemas.openxmlformats.org/spreadsheetml/2006/main" count="164" uniqueCount="102">
  <si>
    <t>GLOBAL SUPERSTORE  |  PROFIT-LEAK ANALYSIS DASHBOARD  (2011–2014)</t>
  </si>
  <si>
    <t>Which product categories and markets drag down profitability — and what should leadership cut, fix, or double down on?</t>
  </si>
  <si>
    <t>TOTAL REVENUE</t>
  </si>
  <si>
    <t>TOTAL PROFIT</t>
  </si>
  <si>
    <t>OVERALL MARGIN</t>
  </si>
  <si>
    <t>UNIQUE ORDERS</t>
  </si>
  <si>
    <t>LOSS-MAKING ROWS</t>
  </si>
  <si>
    <t xml:space="preserve">  CATEGORY PERFORMANCE  —  filter / sort with ▼ arrows</t>
  </si>
  <si>
    <t xml:space="preserve">  MARKET PERFORMANCE  —  filter / sort with ▼ arrows</t>
  </si>
  <si>
    <t>Category</t>
  </si>
  <si>
    <t>Revenue ($)</t>
  </si>
  <si>
    <t>Profit ($)</t>
  </si>
  <si>
    <t>Margin (%)</t>
  </si>
  <si>
    <t>Orders</t>
  </si>
  <si>
    <t>Profit Share</t>
  </si>
  <si>
    <t>Market</t>
  </si>
  <si>
    <t>Technology</t>
  </si>
  <si>
    <t>APAC</t>
  </si>
  <si>
    <t>Furniture</t>
  </si>
  <si>
    <t>EU</t>
  </si>
  <si>
    <t>Office Supplies</t>
  </si>
  <si>
    <t>US</t>
  </si>
  <si>
    <t>LATAM</t>
  </si>
  <si>
    <t>Africa</t>
  </si>
  <si>
    <t>EMEA</t>
  </si>
  <si>
    <t>Canada</t>
  </si>
  <si>
    <t>Source: Global Superstore Dataset (Kaggle)  |  51,290 orders across 7 global markets  |  2011-2014  |  Analyst: Somto Ogene</t>
  </si>
  <si>
    <t>YEAR-OVER-YEAR PERFORMANCE  (2011–2014)</t>
  </si>
  <si>
    <t>Year</t>
  </si>
  <si>
    <t>Rev Growth YoY</t>
  </si>
  <si>
    <t>Profit Growth YoY</t>
  </si>
  <si>
    <t>2011</t>
  </si>
  <si>
    <t>2012</t>
  </si>
  <si>
    <t>2013</t>
  </si>
  <si>
    <t>2014</t>
  </si>
  <si>
    <t>Sub-Category</t>
  </si>
  <si>
    <t>Margin</t>
  </si>
  <si>
    <t>Discount Bucket</t>
  </si>
  <si>
    <t>Avg Margin</t>
  </si>
  <si>
    <t>Tables</t>
  </si>
  <si>
    <t>0%</t>
  </si>
  <si>
    <t>Fasteners</t>
  </si>
  <si>
    <t>1-10%</t>
  </si>
  <si>
    <t>Labels</t>
  </si>
  <si>
    <t>11-20%</t>
  </si>
  <si>
    <t>Supplies</t>
  </si>
  <si>
    <t>21-30%</t>
  </si>
  <si>
    <t>Envelopes</t>
  </si>
  <si>
    <t>31-50%</t>
  </si>
  <si>
    <t>Furnishings</t>
  </si>
  <si>
    <t>&gt;50%</t>
  </si>
  <si>
    <t>Art</t>
  </si>
  <si>
    <t>Machines</t>
  </si>
  <si>
    <t>Paper</t>
  </si>
  <si>
    <t>Binders</t>
  </si>
  <si>
    <t>Storage</t>
  </si>
  <si>
    <t>Accessories</t>
  </si>
  <si>
    <t>Chairs</t>
  </si>
  <si>
    <t>Appliances</t>
  </si>
  <si>
    <t>Bookcases</t>
  </si>
  <si>
    <t>Phones</t>
  </si>
  <si>
    <t>Copiers</t>
  </si>
  <si>
    <t>SUB-CATEGORY PROFIT ANALYSIS</t>
  </si>
  <si>
    <t>Red rows = loss-making  |  Filter arrows to sort by Category or Profit</t>
  </si>
  <si>
    <t>FINDINGS &amp; RECOMMENDATIONS</t>
  </si>
  <si>
    <t>Global Superstore Profit-Leak Analysis  |  2011–2014  |  Prepared by Somto Ogene</t>
  </si>
  <si>
    <t xml:space="preserve">  FINDINGS</t>
  </si>
  <si>
    <t>F1</t>
  </si>
  <si>
    <t>Tables is a money-loser</t>
  </si>
  <si>
    <t>$757K in revenue but -$64K in profit. Every table sold costs the business money. Root cause: average discount on Tables is ~30%, which the list price never covers. This is not a volume problem — it is a structural pricing failure.</t>
  </si>
  <si>
    <t>F2</t>
  </si>
  <si>
    <t>Discounts above 20% systematically destroy margin</t>
  </si>
  <si>
    <t>Orders with a discount above 30% average -15% margin. The correlation between discount and profit is -0.32 — statistically significant and consistent across all categories. High discounts are subsidising unprofitable customers, not building a profitable base.</t>
  </si>
  <si>
    <t>F3</t>
  </si>
  <si>
    <t>Furniture drags the entire portfolio</t>
  </si>
  <si>
    <t>Furniture posts a 6.9% margin vs 14% for Technology and Office Supplies. Tables and Bookcases are the worst offenders. The $4.1M in Furniture revenue masks how poorly each dollar converts to profit.</t>
  </si>
  <si>
    <t>F4</t>
  </si>
  <si>
    <t>EMEA underperforms relative to its revenue potential</t>
  </si>
  <si>
    <t>EMEA has the lowest margin of any market at 5.4%. Revenue growth here is value-destructive without fixing cost and discount structures first. An operational audit is required before any further EMEA expansion.</t>
  </si>
  <si>
    <t>F5</t>
  </si>
  <si>
    <t>APAC and EU are the true growth engines</t>
  </si>
  <si>
    <t>Together they contribute $809K — 55% of total profit — at ~12% margins. These markets are healthy, scalable, and currently under-invested.</t>
  </si>
  <si>
    <t>F6</t>
  </si>
  <si>
    <t>Nearly 1-in-4 order rows is loss-making</t>
  </si>
  <si>
    <t>12,544 rows (24.5%) generated -$920K in combined losses, partially cancelling $2.39M gross profit. Loss concentration skews heavily toward high-discount Furniture, particularly Tables.</t>
  </si>
  <si>
    <t xml:space="preserve">  RECOMMENDATIONS</t>
  </si>
  <si>
    <t>R1</t>
  </si>
  <si>
    <t>Cut or reprice Tables immediately</t>
  </si>
  <si>
    <t>Raise list prices, enforce zero-discount policy, or exit the sub-category. A 10% price increase with zero discounting recovers ~$75K-$100K annually based on current volumes.</t>
  </si>
  <si>
    <t>R2</t>
  </si>
  <si>
    <t>Enforce a 20% company-wide discount ceiling</t>
  </si>
  <si>
    <t>Manager approval above 20%, hard block above 30%. One-quarter pilot recommended. Projected benefit: $150K-$200K/year.</t>
  </si>
  <si>
    <t>R3</t>
  </si>
  <si>
    <t>Shift growth investment toward APAC and EU</t>
  </si>
  <si>
    <t>Both markets have proven demand at ~12% margins. Higher expected ROI than EMEA, LATAM, or Canada at current structural margins.</t>
  </si>
  <si>
    <t>R4</t>
  </si>
  <si>
    <t>Commission an EMEA operational audit before expanding</t>
  </si>
  <si>
    <t>Determine whether the 5.4% margin is structural (cost, mix, customers) or fixable — before committing to expansion targets.</t>
  </si>
  <si>
    <t>Data source: Global Superstore dataset (Kaggle)  |  51,290 orders  |  7 global markets  |  2011-2014</t>
  </si>
  <si>
    <t>DISCOUNT IMPACT ON PROFITABILITY</t>
  </si>
  <si>
    <t>Discount-Profit correlation: -0.32  |  Every discount tier above 20% averages a negative margin</t>
  </si>
  <si>
    <t>Avg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</si>
</sst>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+0.0%;\-0.0%;\-"/>
  </numFmts>
  <fonts count="19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i/>
      <sz val="9"/>
      <color rgb="FFBBBBBB"/>
      <name val="Calibri"/>
    </font>
    <font>
      <b/>
      <sz val="8"/>
      <color rgb="FFFFFFFF"/>
      <name val="Calibri"/>
    </font>
    <font>
      <b/>
      <sz val="18"/>
      <color rgb="FFF39C12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10"/>
      <color rgb="FF000000"/>
      <name val="Calibri"/>
    </font>
    <font>
      <b/>
      <sz val="10"/>
      <color rgb="FF1E8449"/>
      <name val="Calibri"/>
    </font>
    <font>
      <b/>
      <sz val="10"/>
      <color rgb="FFC0392B"/>
      <name val="Calibri"/>
    </font>
    <font>
      <b/>
      <sz val="10"/>
      <color rgb="FF000000"/>
      <name val="Calibri"/>
    </font>
    <font>
      <i/>
      <sz val="8"/>
      <color rgb="FF888888"/>
      <name val="Calibri"/>
    </font>
    <font>
      <b/>
      <sz val="14"/>
      <color rgb="FFFFFFFF"/>
      <name val="Calibri"/>
    </font>
    <font>
      <i/>
      <sz val="9"/>
      <color rgb="FF555555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333333"/>
      <name val="Calibri"/>
    </font>
    <font>
      <i/>
      <sz val="8"/>
      <color rgb="FF99999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DEDEC"/>
      </patternFill>
    </fill>
    <fill>
      <patternFill patternType="solid">
        <fgColor rgb="FFEAFAF1"/>
      </patternFill>
    </fill>
    <fill>
      <patternFill patternType="solid">
        <fgColor rgb="FF2980B9"/>
      </patternFill>
    </fill>
    <fill>
      <patternFill patternType="solid">
        <fgColor rgb="FFD6E4F0"/>
      </patternFill>
    </fill>
    <fill>
      <patternFill patternType="solid">
        <fgColor rgb="FF1E8449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2" borderId="0" xfId="0" applyFill="1"/>
    <xf numFmtId="165" fontId="4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right" vertical="center"/>
    </xf>
    <xf numFmtId="165" fontId="8" fillId="4" borderId="2" xfId="0" applyNumberFormat="1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horizontal="right" vertical="center"/>
    </xf>
    <xf numFmtId="165" fontId="10" fillId="4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4" fontId="7" fillId="5" borderId="2" xfId="0" applyNumberFormat="1" applyFont="1" applyFill="1" applyBorder="1" applyAlignment="1">
      <alignment horizontal="right" vertical="center"/>
    </xf>
    <xf numFmtId="165" fontId="9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165" fontId="10" fillId="5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right" vertical="center"/>
    </xf>
    <xf numFmtId="166" fontId="8" fillId="4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0" borderId="0" xfId="0"/>
    <xf numFmtId="164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&amp; Profit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_ChartData!$E$1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5090"/>
            </a:solidFill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-9.4978632478632981E-3"/>
                  <c:y val="-2.86631944444444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2F-462F-8DA9-0E6D0340760D}"/>
                </c:ext>
              </c:extLst>
            </c:dLbl>
            <c:dLbl>
              <c:idx val="2"/>
              <c:layout>
                <c:manualLayout>
                  <c:x val="1.3568376068376069E-3"/>
                  <c:y val="1.32291666666666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2F-462F-8DA9-0E6D0340760D}"/>
                </c:ext>
              </c:extLst>
            </c:dLbl>
            <c:dLbl>
              <c:idx val="3"/>
              <c:layout>
                <c:manualLayout>
                  <c:x val="2.7136752136751141E-3"/>
                  <c:y val="1.32291666666666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2F-462F-8DA9-0E6D0340760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_ChartData!$D$2:$D$5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_ChartData!$E$2:$E$5</c:f>
              <c:numCache>
                <c:formatCode>General</c:formatCode>
                <c:ptCount val="4"/>
                <c:pt idx="0">
                  <c:v>2259451</c:v>
                </c:pt>
                <c:pt idx="1">
                  <c:v>2677439</c:v>
                </c:pt>
                <c:pt idx="2">
                  <c:v>3405746</c:v>
                </c:pt>
                <c:pt idx="3">
                  <c:v>4299866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2F-462F-8DA9-0E6D0340760D}"/>
            </c:ext>
          </c:extLst>
        </c:ser>
        <c:ser>
          <c:idx val="1"/>
          <c:order val="1"/>
          <c:tx>
            <c:strRef>
              <c:f>_ChartData!$F$1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_ChartData!$D$2:$D$5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_ChartData!$F$2:$F$5</c:f>
              <c:numCache>
                <c:formatCode>General</c:formatCode>
                <c:ptCount val="4"/>
                <c:pt idx="0">
                  <c:v>248941</c:v>
                </c:pt>
                <c:pt idx="1">
                  <c:v>307415</c:v>
                </c:pt>
                <c:pt idx="2">
                  <c:v>406935</c:v>
                </c:pt>
                <c:pt idx="3">
                  <c:v>504166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2F-462F-8DA9-0E6D034076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2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_ChartData!$G$1</c:f>
              <c:strCache>
                <c:ptCount val="1"/>
                <c:pt idx="0">
                  <c:v>Margin</c:v>
                </c:pt>
              </c:strCache>
            </c:strRef>
          </c:tx>
          <c:spPr>
            <a:ln w="28000">
              <a:solidFill>
                <a:srgbClr val="C0392B"/>
              </a:solidFill>
              <a:prstDash val="solid"/>
            </a:ln>
          </c:spPr>
          <c:marker>
            <c:symbol val="none"/>
          </c:marker>
          <c:val>
            <c:numRef>
              <c:f>_ChartData!$G$2:$G$5</c:f>
              <c:numCache>
                <c:formatCode>General</c:formatCode>
                <c:ptCount val="4"/>
                <c:pt idx="0">
                  <c:v>0.11020000000000001</c:v>
                </c:pt>
                <c:pt idx="1">
                  <c:v>0.1148</c:v>
                </c:pt>
                <c:pt idx="2">
                  <c:v>0.1195</c:v>
                </c:pt>
                <c:pt idx="3">
                  <c:v>0.1173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F-462F-8DA9-0E6D03407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l"/>
      <c:layout>
        <c:manualLayout>
          <c:xMode val="edge"/>
          <c:yMode val="edge"/>
          <c:x val="1.0854700854700855E-2"/>
          <c:y val="3.6704861111111105E-2"/>
          <c:w val="0.10687841880341881"/>
          <c:h val="0.1262255208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by Sub-Category ($)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E509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_ChartData!$A$2:$A$18</c:f>
              <c:strCache>
                <c:ptCount val="17"/>
                <c:pt idx="0">
                  <c:v>Tables</c:v>
                </c:pt>
                <c:pt idx="1">
                  <c:v>Fasteners</c:v>
                </c:pt>
                <c:pt idx="2">
                  <c:v>Labels</c:v>
                </c:pt>
                <c:pt idx="3">
                  <c:v>Supplies</c:v>
                </c:pt>
                <c:pt idx="4">
                  <c:v>Envelopes</c:v>
                </c:pt>
                <c:pt idx="5">
                  <c:v>Furnishings</c:v>
                </c:pt>
                <c:pt idx="6">
                  <c:v>Art</c:v>
                </c:pt>
                <c:pt idx="7">
                  <c:v>Machines</c:v>
                </c:pt>
                <c:pt idx="8">
                  <c:v>Paper</c:v>
                </c:pt>
                <c:pt idx="9">
                  <c:v>Binders</c:v>
                </c:pt>
                <c:pt idx="10">
                  <c:v>Storage</c:v>
                </c:pt>
                <c:pt idx="11">
                  <c:v>Accessories</c:v>
                </c:pt>
                <c:pt idx="12">
                  <c:v>Chairs</c:v>
                </c:pt>
                <c:pt idx="13">
                  <c:v>Appliances</c:v>
                </c:pt>
                <c:pt idx="14">
                  <c:v>Bookcases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_ChartData!$B$2:$B$18</c:f>
              <c:numCache>
                <c:formatCode>General</c:formatCode>
                <c:ptCount val="17"/>
                <c:pt idx="0">
                  <c:v>-64083</c:v>
                </c:pt>
                <c:pt idx="1">
                  <c:v>11525</c:v>
                </c:pt>
                <c:pt idx="2">
                  <c:v>15011</c:v>
                </c:pt>
                <c:pt idx="3">
                  <c:v>22583</c:v>
                </c:pt>
                <c:pt idx="4">
                  <c:v>29601</c:v>
                </c:pt>
                <c:pt idx="5">
                  <c:v>46967</c:v>
                </c:pt>
                <c:pt idx="6">
                  <c:v>57954</c:v>
                </c:pt>
                <c:pt idx="7">
                  <c:v>58868</c:v>
                </c:pt>
                <c:pt idx="8">
                  <c:v>59208</c:v>
                </c:pt>
                <c:pt idx="9">
                  <c:v>72450</c:v>
                </c:pt>
                <c:pt idx="10">
                  <c:v>108461</c:v>
                </c:pt>
                <c:pt idx="11">
                  <c:v>129626</c:v>
                </c:pt>
                <c:pt idx="12">
                  <c:v>140396</c:v>
                </c:pt>
                <c:pt idx="13">
                  <c:v>141681</c:v>
                </c:pt>
                <c:pt idx="14">
                  <c:v>161924</c:v>
                </c:pt>
                <c:pt idx="15">
                  <c:v>216717</c:v>
                </c:pt>
                <c:pt idx="16">
                  <c:v>258568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C5-464E-A469-D70151E36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overlay val="1"/>
        </c:title>
        <c:numFmt formatCode="\$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Margin (%) by Discount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_ChartData!$J$1</c:f>
              <c:strCache>
                <c:ptCount val="1"/>
                <c:pt idx="0">
                  <c:v>Avg Margin</c:v>
                </c:pt>
              </c:strCache>
            </c:strRef>
          </c:tx>
          <c:spPr>
            <a:solidFill>
              <a:srgbClr val="2E509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_ChartData!$I$2:$I$7</c:f>
              <c:strCache>
                <c:ptCount val="6"/>
                <c:pt idx="0">
                  <c:v>0%</c:v>
                </c:pt>
                <c:pt idx="1">
                  <c:v>1-10%</c:v>
                </c:pt>
                <c:pt idx="2">
                  <c:v>11-20%</c:v>
                </c:pt>
                <c:pt idx="3">
                  <c:v>21-30%</c:v>
                </c:pt>
                <c:pt idx="4">
                  <c:v>31-50%</c:v>
                </c:pt>
                <c:pt idx="5">
                  <c:v>&gt;50%</c:v>
                </c:pt>
              </c:strCache>
            </c:strRef>
          </c:cat>
          <c:val>
            <c:numRef>
              <c:f>_ChartData!$J$2:$J$7</c:f>
              <c:numCache>
                <c:formatCode>General</c:formatCode>
                <c:ptCount val="6"/>
                <c:pt idx="0">
                  <c:v>0.26490000000000002</c:v>
                </c:pt>
                <c:pt idx="1">
                  <c:v>0.17130000000000001</c:v>
                </c:pt>
                <c:pt idx="2">
                  <c:v>0.13739999999999999</c:v>
                </c:pt>
                <c:pt idx="3">
                  <c:v>-3.85E-2</c:v>
                </c:pt>
                <c:pt idx="4">
                  <c:v>-0.33789999999999998</c:v>
                </c:pt>
                <c:pt idx="5">
                  <c:v>-1.1474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62-4334-9153-36B44EC705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Bucket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4"/>
          <c:min val="-1.3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Margin (%)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936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72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Table" displayName="CategoryTable" ref="B11:G14">
  <autoFilter ref="B11:G14" xr:uid="{00000000-0009-0000-0100-000001000000}"/>
  <tableColumns count="6">
    <tableColumn id="2" xr3:uid="{00000000-0010-0000-0000-000002000000}" name="Category"/>
    <tableColumn id="3" xr3:uid="{00000000-0010-0000-0000-000003000000}" name="Revenue ($)"/>
    <tableColumn id="4" xr3:uid="{00000000-0010-0000-0000-000004000000}" name="Profit ($)"/>
    <tableColumn id="5" xr3:uid="{00000000-0010-0000-0000-000005000000}" name="Margin (%)"/>
    <tableColumn id="6" xr3:uid="{00000000-0010-0000-0000-000006000000}" name="Orders"/>
    <tableColumn id="7" xr3:uid="{00000000-0010-0000-0000-000007000000}" name="Profit 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Table" displayName="MarketTable" ref="I11:N18">
  <autoFilter ref="I11:N18" xr:uid="{00000000-0009-0000-0100-000002000000}"/>
  <tableColumns count="6">
    <tableColumn id="9" xr3:uid="{00000000-0010-0000-0100-000009000000}" name="Market"/>
    <tableColumn id="10" xr3:uid="{00000000-0010-0000-0100-00000A000000}" name="Revenue ($)"/>
    <tableColumn id="11" xr3:uid="{00000000-0010-0000-0100-00000B000000}" name="Profit ($)"/>
    <tableColumn id="12" xr3:uid="{00000000-0010-0000-0100-00000C000000}" name="Margin (%)"/>
    <tableColumn id="13" xr3:uid="{00000000-0010-0000-0100-00000D000000}" name="Profit Share"/>
    <tableColumn id="14" xr3:uid="{00000000-0010-0000-0100-00000E000000}" name="Or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YearlyTable" displayName="YearlyTable" ref="B4:G8">
  <autoFilter ref="B4:G8" xr:uid="{00000000-0009-0000-0100-000003000000}"/>
  <tableColumns count="6">
    <tableColumn id="2" xr3:uid="{00000000-0010-0000-0200-000002000000}" name="Year"/>
    <tableColumn id="3" xr3:uid="{00000000-0010-0000-0200-000003000000}" name="Revenue ($)"/>
    <tableColumn id="4" xr3:uid="{00000000-0010-0000-0200-000004000000}" name="Profit ($)"/>
    <tableColumn id="5" xr3:uid="{00000000-0010-0000-0200-000005000000}" name="Margin (%)"/>
    <tableColumn id="6" xr3:uid="{00000000-0010-0000-0200-000006000000}" name="Rev Growth YoY"/>
    <tableColumn id="7" xr3:uid="{00000000-0010-0000-0200-000007000000}" name="Profit Growth Yo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bCatTable" displayName="SubCatTable" ref="B5:F22">
  <autoFilter ref="B5:F22" xr:uid="{00000000-0009-0000-0100-000004000000}"/>
  <tableColumns count="5">
    <tableColumn id="2" xr3:uid="{00000000-0010-0000-0300-000002000000}" name="Category"/>
    <tableColumn id="3" xr3:uid="{00000000-0010-0000-0300-000003000000}" name="Sub-Category"/>
    <tableColumn id="4" xr3:uid="{00000000-0010-0000-0300-000004000000}" name="Revenue ($)"/>
    <tableColumn id="5" xr3:uid="{00000000-0010-0000-0300-000005000000}" name="Profit ($)"/>
    <tableColumn id="6" xr3:uid="{00000000-0010-0000-0300-000006000000}" name="Margin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scountTable" displayName="DiscountTable" ref="B5:C11">
  <autoFilter ref="B5:C11" xr:uid="{00000000-0009-0000-0100-000005000000}"/>
  <tableColumns count="2">
    <tableColumn id="2" xr3:uid="{00000000-0010-0000-0400-000002000000}" name="Discount Bucket"/>
    <tableColumn id="3" xr3:uid="{00000000-0010-0000-0400-000003000000}" name="Avg Margin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6BB78E-5717-4E76-9B2E-D921227F644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9362a93-4920-41e9-820a-f72c51c3d8c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0"/>
  <sheetViews>
    <sheetView showGridLines="0" tabSelected="1" workbookViewId="0">
      <pane ySplit="9" topLeftCell="A10" activePane="bottomLeft" state="frozen"/>
      <selection pane="bottomLeft" activeCell="J28" sqref="J28"/>
    </sheetView>
  </sheetViews>
  <sheetFormatPr defaultRowHeight="15" x14ac:dyDescent="0.25"/>
  <cols>
    <col min="1" max="1" width="2" customWidth="1"/>
    <col min="2" max="2" width="16" customWidth="1"/>
    <col min="3" max="3" width="15" customWidth="1"/>
    <col min="4" max="4" width="14" customWidth="1"/>
    <col min="5" max="5" width="10" customWidth="1"/>
    <col min="6" max="6" width="9" customWidth="1"/>
    <col min="7" max="7" width="13.140625" customWidth="1"/>
    <col min="8" max="8" width="2" customWidth="1"/>
    <col min="9" max="9" width="9" customWidth="1"/>
    <col min="10" max="10" width="15" customWidth="1"/>
    <col min="11" max="11" width="14" customWidth="1"/>
    <col min="12" max="13" width="10" customWidth="1"/>
    <col min="14" max="14" width="9" customWidth="1"/>
    <col min="15" max="15" width="2" customWidth="1"/>
  </cols>
  <sheetData>
    <row r="1" spans="2:14" ht="5.0999999999999996" customHeight="1" x14ac:dyDescent="0.25"/>
    <row r="2" spans="2:14" ht="44.1" customHeight="1" x14ac:dyDescent="0.25">
      <c r="B2" s="40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2:14" ht="18" customHeight="1" x14ac:dyDescent="0.25">
      <c r="B3" s="39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2:14" ht="6" customHeight="1" x14ac:dyDescent="0.25"/>
    <row r="5" spans="2:14" ht="15.95" customHeight="1" x14ac:dyDescent="0.25">
      <c r="B5" s="38" t="s">
        <v>2</v>
      </c>
      <c r="C5" s="35"/>
      <c r="D5" s="38" t="s">
        <v>3</v>
      </c>
      <c r="E5" s="35"/>
      <c r="G5" s="1" t="s">
        <v>4</v>
      </c>
      <c r="I5" s="38" t="s">
        <v>5</v>
      </c>
      <c r="J5" s="35"/>
      <c r="L5" s="38" t="s">
        <v>6</v>
      </c>
      <c r="M5" s="35"/>
    </row>
    <row r="6" spans="2:14" ht="6" customHeight="1" x14ac:dyDescent="0.25">
      <c r="B6" s="2"/>
      <c r="C6" s="2"/>
      <c r="D6" s="2"/>
      <c r="E6" s="2"/>
      <c r="G6" s="2"/>
      <c r="I6" s="2"/>
      <c r="J6" s="2"/>
      <c r="L6" s="2"/>
      <c r="M6" s="2"/>
    </row>
    <row r="7" spans="2:14" ht="45.95" customHeight="1" x14ac:dyDescent="0.25">
      <c r="B7" s="36">
        <v>12642501.909879999</v>
      </c>
      <c r="C7" s="35"/>
      <c r="D7" s="36">
        <v>1467457.29128</v>
      </c>
      <c r="E7" s="35"/>
      <c r="G7" s="3">
        <v>0.11607332960995601</v>
      </c>
      <c r="I7" s="37">
        <v>25035</v>
      </c>
      <c r="J7" s="35"/>
      <c r="L7" s="37">
        <v>12544</v>
      </c>
      <c r="M7" s="35"/>
    </row>
    <row r="8" spans="2:14" ht="8.1" customHeight="1" x14ac:dyDescent="0.25">
      <c r="B8" s="2"/>
      <c r="C8" s="2"/>
      <c r="D8" s="2"/>
      <c r="E8" s="2"/>
      <c r="G8" s="2"/>
      <c r="I8" s="2"/>
      <c r="J8" s="2"/>
      <c r="L8" s="2"/>
      <c r="M8" s="2"/>
    </row>
    <row r="9" spans="2:14" ht="6" customHeight="1" x14ac:dyDescent="0.25"/>
    <row r="10" spans="2:14" ht="20.100000000000001" customHeight="1" x14ac:dyDescent="0.25">
      <c r="B10" s="34" t="s">
        <v>7</v>
      </c>
      <c r="C10" s="35"/>
      <c r="D10" s="35"/>
      <c r="E10" s="35"/>
      <c r="F10" s="35"/>
      <c r="G10" s="35"/>
      <c r="I10" s="34" t="s">
        <v>8</v>
      </c>
      <c r="J10" s="35"/>
      <c r="K10" s="35"/>
      <c r="L10" s="35"/>
      <c r="M10" s="35"/>
      <c r="N10" s="35"/>
    </row>
    <row r="11" spans="2:14" ht="18" customHeight="1" x14ac:dyDescent="0.25"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I11" s="4" t="s">
        <v>15</v>
      </c>
      <c r="J11" s="4" t="s">
        <v>10</v>
      </c>
      <c r="K11" s="4" t="s">
        <v>11</v>
      </c>
      <c r="L11" s="4" t="s">
        <v>12</v>
      </c>
      <c r="M11" s="4" t="s">
        <v>14</v>
      </c>
      <c r="N11" s="4" t="s">
        <v>13</v>
      </c>
    </row>
    <row r="12" spans="2:14" ht="18" customHeight="1" x14ac:dyDescent="0.25">
      <c r="B12" s="5" t="s">
        <v>16</v>
      </c>
      <c r="C12" s="6">
        <v>4744557.4980800003</v>
      </c>
      <c r="D12" s="6">
        <v>663778.73317999998</v>
      </c>
      <c r="E12" s="7">
        <v>0.1399031908557572</v>
      </c>
      <c r="F12" s="8">
        <v>8354</v>
      </c>
      <c r="G12" s="9">
        <v>0.4523325735776707</v>
      </c>
      <c r="I12" s="5" t="s">
        <v>17</v>
      </c>
      <c r="J12" s="6">
        <v>3585744.1290000002</v>
      </c>
      <c r="K12" s="6">
        <v>436000.049</v>
      </c>
      <c r="L12" s="10">
        <v>0.12159262716874129</v>
      </c>
      <c r="M12" s="9">
        <v>0.29711259850001898</v>
      </c>
      <c r="N12" s="8">
        <v>5437</v>
      </c>
    </row>
    <row r="13" spans="2:14" ht="18" customHeight="1" x14ac:dyDescent="0.25">
      <c r="B13" s="11" t="s">
        <v>18</v>
      </c>
      <c r="C13" s="12">
        <v>4110874.1863000002</v>
      </c>
      <c r="D13" s="12">
        <v>285204.72379999998</v>
      </c>
      <c r="E13" s="13">
        <v>6.9378120291416406E-2</v>
      </c>
      <c r="F13" s="14">
        <v>8195</v>
      </c>
      <c r="G13" s="15">
        <v>0.19435299786559929</v>
      </c>
      <c r="I13" s="11" t="s">
        <v>19</v>
      </c>
      <c r="J13" s="12">
        <v>2938089.0614999998</v>
      </c>
      <c r="K13" s="12">
        <v>372829.7415</v>
      </c>
      <c r="L13" s="16">
        <v>0.1268953165462102</v>
      </c>
      <c r="M13" s="15">
        <v>0.25406513955496218</v>
      </c>
      <c r="N13" s="14">
        <v>4593</v>
      </c>
    </row>
    <row r="14" spans="2:14" ht="18" customHeight="1" x14ac:dyDescent="0.25">
      <c r="B14" s="5" t="s">
        <v>20</v>
      </c>
      <c r="C14" s="6">
        <v>3787070.2255000002</v>
      </c>
      <c r="D14" s="6">
        <v>518473.83429999999</v>
      </c>
      <c r="E14" s="7">
        <v>0.13690631634155839</v>
      </c>
      <c r="F14" s="8">
        <v>19003</v>
      </c>
      <c r="G14" s="9">
        <v>0.35331442855673001</v>
      </c>
      <c r="I14" s="5" t="s">
        <v>21</v>
      </c>
      <c r="J14" s="6">
        <v>2297200.8602999998</v>
      </c>
      <c r="K14" s="6">
        <v>286397.02169999998</v>
      </c>
      <c r="L14" s="10">
        <v>0.12467217240315601</v>
      </c>
      <c r="M14" s="9">
        <v>0.19516549026799149</v>
      </c>
      <c r="N14" s="8">
        <v>5009</v>
      </c>
    </row>
    <row r="15" spans="2:14" ht="18" customHeight="1" x14ac:dyDescent="0.25">
      <c r="I15" s="11" t="s">
        <v>22</v>
      </c>
      <c r="J15" s="12">
        <v>2164605.16708</v>
      </c>
      <c r="K15" s="12">
        <v>221643.48707999999</v>
      </c>
      <c r="L15" s="16">
        <v>0.1023944183682199</v>
      </c>
      <c r="M15" s="15">
        <v>0.15103913987620721</v>
      </c>
      <c r="N15" s="14">
        <v>5138</v>
      </c>
    </row>
    <row r="16" spans="2:14" ht="18" customHeight="1" x14ac:dyDescent="0.25">
      <c r="I16" s="5" t="s">
        <v>23</v>
      </c>
      <c r="J16" s="6">
        <v>783773.21100000001</v>
      </c>
      <c r="K16" s="6">
        <v>88871.631000000008</v>
      </c>
      <c r="L16" s="10">
        <v>0.11338947255751509</v>
      </c>
      <c r="M16" s="9">
        <v>6.0561647366569091E-2</v>
      </c>
      <c r="N16" s="8">
        <v>2232</v>
      </c>
    </row>
    <row r="17" spans="2:14" ht="18" customHeight="1" x14ac:dyDescent="0.25">
      <c r="I17" s="11" t="s">
        <v>24</v>
      </c>
      <c r="J17" s="12">
        <v>806161.31099999999</v>
      </c>
      <c r="K17" s="12">
        <v>43897.970999999998</v>
      </c>
      <c r="L17" s="13">
        <v>5.4453085754694569E-2</v>
      </c>
      <c r="M17" s="15">
        <v>2.9914309098365441E-2</v>
      </c>
      <c r="N17" s="14">
        <v>2462</v>
      </c>
    </row>
    <row r="18" spans="2:14" ht="18" customHeight="1" x14ac:dyDescent="0.25">
      <c r="I18" s="5" t="s">
        <v>25</v>
      </c>
      <c r="J18" s="6">
        <v>66928.17</v>
      </c>
      <c r="K18" s="6">
        <v>17817.39</v>
      </c>
      <c r="L18" s="7">
        <v>0.26621660206755993</v>
      </c>
      <c r="M18" s="9">
        <v>1.214167533588569E-2</v>
      </c>
      <c r="N18" s="8">
        <v>201</v>
      </c>
    </row>
    <row r="20" spans="2:14" ht="15.95" customHeight="1" x14ac:dyDescent="0.25">
      <c r="B20" s="41" t="s">
        <v>26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</sheetData>
  <mergeCells count="13">
    <mergeCell ref="B3:N3"/>
    <mergeCell ref="B2:N2"/>
    <mergeCell ref="B20:N20"/>
    <mergeCell ref="B5:C5"/>
    <mergeCell ref="I7:J7"/>
    <mergeCell ref="D5:E5"/>
    <mergeCell ref="I5:J5"/>
    <mergeCell ref="L5:M5"/>
    <mergeCell ref="B10:G10"/>
    <mergeCell ref="D7:E7"/>
    <mergeCell ref="B7:C7"/>
    <mergeCell ref="L7:M7"/>
    <mergeCell ref="I10:N10"/>
  </mergeCells>
  <conditionalFormatting sqref="E12:E14">
    <cfRule type="colorScale" priority="1">
      <colorScale>
        <cfvo type="min"/>
        <cfvo type="percentile" val="50"/>
        <cfvo type="max"/>
        <color rgb="FFFF9999"/>
        <color rgb="FFFFFF99"/>
        <color rgb="FF90EE90"/>
      </colorScale>
    </cfRule>
  </conditionalFormatting>
  <conditionalFormatting sqref="L12:L18">
    <cfRule type="colorScale" priority="2">
      <colorScale>
        <cfvo type="min"/>
        <cfvo type="percentile" val="50"/>
        <cfvo type="max"/>
        <color rgb="FFFF9999"/>
        <color rgb="FFFFFF99"/>
        <color rgb="FF90EE9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8"/>
  <sheetViews>
    <sheetView showGridLines="0" workbookViewId="0"/>
  </sheetViews>
  <sheetFormatPr defaultRowHeight="15" x14ac:dyDescent="0.25"/>
  <cols>
    <col min="1" max="1" width="2" customWidth="1"/>
    <col min="2" max="2" width="10" customWidth="1"/>
    <col min="3" max="3" width="16" customWidth="1"/>
    <col min="4" max="4" width="15" customWidth="1"/>
    <col min="5" max="5" width="12" customWidth="1"/>
    <col min="6" max="7" width="16" customWidth="1"/>
    <col min="8" max="8" width="2" customWidth="1"/>
  </cols>
  <sheetData>
    <row r="1" spans="2:7" ht="5.0999999999999996" customHeight="1" x14ac:dyDescent="0.25"/>
    <row r="2" spans="2:7" ht="38.1" customHeight="1" x14ac:dyDescent="0.25">
      <c r="B2" s="42" t="s">
        <v>27</v>
      </c>
      <c r="C2" s="35"/>
      <c r="D2" s="35"/>
      <c r="E2" s="35"/>
      <c r="F2" s="35"/>
      <c r="G2" s="35"/>
    </row>
    <row r="3" spans="2:7" ht="5.0999999999999996" customHeight="1" x14ac:dyDescent="0.25"/>
    <row r="4" spans="2:7" ht="18" customHeight="1" x14ac:dyDescent="0.25">
      <c r="B4" s="4" t="s">
        <v>28</v>
      </c>
      <c r="C4" s="4" t="s">
        <v>10</v>
      </c>
      <c r="D4" s="4" t="s">
        <v>11</v>
      </c>
      <c r="E4" s="4" t="s">
        <v>12</v>
      </c>
      <c r="F4" s="4" t="s">
        <v>29</v>
      </c>
      <c r="G4" s="4" t="s">
        <v>30</v>
      </c>
    </row>
    <row r="5" spans="2:7" ht="18" customHeight="1" x14ac:dyDescent="0.25">
      <c r="B5" s="17" t="s">
        <v>31</v>
      </c>
      <c r="C5" s="6">
        <v>2259450.8955399999</v>
      </c>
      <c r="D5" s="6">
        <v>248940.81154</v>
      </c>
      <c r="E5" s="9">
        <v>0.11017757103347189</v>
      </c>
      <c r="F5" s="18"/>
      <c r="G5" s="18"/>
    </row>
    <row r="6" spans="2:7" ht="18" customHeight="1" x14ac:dyDescent="0.25">
      <c r="B6" s="19" t="s">
        <v>32</v>
      </c>
      <c r="C6" s="12">
        <v>2677438.6943999999</v>
      </c>
      <c r="D6" s="12">
        <v>307415.27909999999</v>
      </c>
      <c r="E6" s="15">
        <v>0.1148169254978554</v>
      </c>
      <c r="F6" s="20">
        <v>0.18499530115262919</v>
      </c>
      <c r="G6" s="20">
        <v>0.23489305428975141</v>
      </c>
    </row>
    <row r="7" spans="2:7" ht="18" customHeight="1" x14ac:dyDescent="0.25">
      <c r="B7" s="17" t="s">
        <v>33</v>
      </c>
      <c r="C7" s="6">
        <v>3405746.4493800001</v>
      </c>
      <c r="D7" s="6">
        <v>406935.23018000001</v>
      </c>
      <c r="E7" s="9">
        <v>0.1194848871542039</v>
      </c>
      <c r="F7" s="21">
        <v>0.27201659425603031</v>
      </c>
      <c r="G7" s="21">
        <v>0.32373131020474388</v>
      </c>
    </row>
    <row r="8" spans="2:7" ht="18" customHeight="1" x14ac:dyDescent="0.25">
      <c r="B8" s="19" t="s">
        <v>34</v>
      </c>
      <c r="C8" s="12">
        <v>4299865.8705599997</v>
      </c>
      <c r="D8" s="12">
        <v>504165.97045999998</v>
      </c>
      <c r="E8" s="15">
        <v>0.11725155752226731</v>
      </c>
      <c r="F8" s="20">
        <v>0.26253258557834502</v>
      </c>
      <c r="G8" s="20">
        <v>0.23893419165745811</v>
      </c>
    </row>
  </sheetData>
  <mergeCells count="1">
    <mergeCell ref="B2:G2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/>
  </sheetViews>
  <sheetFormatPr defaultRowHeight="15" x14ac:dyDescent="0.25"/>
  <sheetData>
    <row r="1" spans="1:10" x14ac:dyDescent="0.25">
      <c r="A1" t="s">
        <v>35</v>
      </c>
      <c r="B1" t="s">
        <v>11</v>
      </c>
      <c r="D1" t="s">
        <v>28</v>
      </c>
      <c r="E1" t="s">
        <v>10</v>
      </c>
      <c r="F1" t="s">
        <v>11</v>
      </c>
      <c r="G1" t="s">
        <v>36</v>
      </c>
      <c r="I1" t="s">
        <v>37</v>
      </c>
      <c r="J1" t="s">
        <v>38</v>
      </c>
    </row>
    <row r="2" spans="1:10" x14ac:dyDescent="0.25">
      <c r="A2" t="s">
        <v>39</v>
      </c>
      <c r="B2">
        <v>-64083</v>
      </c>
      <c r="D2" t="s">
        <v>31</v>
      </c>
      <c r="E2">
        <v>2259451</v>
      </c>
      <c r="F2">
        <v>248941</v>
      </c>
      <c r="G2">
        <v>0.11020000000000001</v>
      </c>
      <c r="I2" t="s">
        <v>40</v>
      </c>
      <c r="J2">
        <v>0.26490000000000002</v>
      </c>
    </row>
    <row r="3" spans="1:10" x14ac:dyDescent="0.25">
      <c r="A3" t="s">
        <v>41</v>
      </c>
      <c r="B3">
        <v>11525</v>
      </c>
      <c r="D3" t="s">
        <v>32</v>
      </c>
      <c r="E3">
        <v>2677439</v>
      </c>
      <c r="F3">
        <v>307415</v>
      </c>
      <c r="G3">
        <v>0.1148</v>
      </c>
      <c r="I3" t="s">
        <v>42</v>
      </c>
      <c r="J3">
        <v>0.17130000000000001</v>
      </c>
    </row>
    <row r="4" spans="1:10" x14ac:dyDescent="0.25">
      <c r="A4" t="s">
        <v>43</v>
      </c>
      <c r="B4">
        <v>15011</v>
      </c>
      <c r="D4" t="s">
        <v>33</v>
      </c>
      <c r="E4">
        <v>3405746</v>
      </c>
      <c r="F4">
        <v>406935</v>
      </c>
      <c r="G4">
        <v>0.1195</v>
      </c>
      <c r="I4" t="s">
        <v>44</v>
      </c>
      <c r="J4">
        <v>0.13739999999999999</v>
      </c>
    </row>
    <row r="5" spans="1:10" x14ac:dyDescent="0.25">
      <c r="A5" t="s">
        <v>45</v>
      </c>
      <c r="B5">
        <v>22583</v>
      </c>
      <c r="D5" t="s">
        <v>34</v>
      </c>
      <c r="E5">
        <v>4299866</v>
      </c>
      <c r="F5">
        <v>504166</v>
      </c>
      <c r="G5">
        <v>0.1173</v>
      </c>
      <c r="I5" t="s">
        <v>46</v>
      </c>
      <c r="J5">
        <v>-3.85E-2</v>
      </c>
    </row>
    <row r="6" spans="1:10" x14ac:dyDescent="0.25">
      <c r="A6" t="s">
        <v>47</v>
      </c>
      <c r="B6">
        <v>29601</v>
      </c>
      <c r="I6" t="s">
        <v>48</v>
      </c>
      <c r="J6">
        <v>-0.33789999999999998</v>
      </c>
    </row>
    <row r="7" spans="1:10" x14ac:dyDescent="0.25">
      <c r="A7" t="s">
        <v>49</v>
      </c>
      <c r="B7">
        <v>46967</v>
      </c>
      <c r="I7" t="s">
        <v>50</v>
      </c>
      <c r="J7">
        <v>-1.1474</v>
      </c>
    </row>
    <row r="8" spans="1:10" x14ac:dyDescent="0.25">
      <c r="A8" t="s">
        <v>51</v>
      </c>
      <c r="B8">
        <v>57954</v>
      </c>
    </row>
    <row r="9" spans="1:10" x14ac:dyDescent="0.25">
      <c r="A9" t="s">
        <v>52</v>
      </c>
      <c r="B9">
        <v>58868</v>
      </c>
    </row>
    <row r="10" spans="1:10" x14ac:dyDescent="0.25">
      <c r="A10" t="s">
        <v>53</v>
      </c>
      <c r="B10">
        <v>59208</v>
      </c>
    </row>
    <row r="11" spans="1:10" x14ac:dyDescent="0.25">
      <c r="A11" t="s">
        <v>54</v>
      </c>
      <c r="B11">
        <v>72450</v>
      </c>
    </row>
    <row r="12" spans="1:10" x14ac:dyDescent="0.25">
      <c r="A12" t="s">
        <v>55</v>
      </c>
      <c r="B12">
        <v>108461</v>
      </c>
    </row>
    <row r="13" spans="1:10" x14ac:dyDescent="0.25">
      <c r="A13" t="s">
        <v>56</v>
      </c>
      <c r="B13">
        <v>129626</v>
      </c>
    </row>
    <row r="14" spans="1:10" x14ac:dyDescent="0.25">
      <c r="A14" t="s">
        <v>57</v>
      </c>
      <c r="B14">
        <v>140396</v>
      </c>
    </row>
    <row r="15" spans="1:10" x14ac:dyDescent="0.25">
      <c r="A15" t="s">
        <v>58</v>
      </c>
      <c r="B15">
        <v>141681</v>
      </c>
    </row>
    <row r="16" spans="1:10" x14ac:dyDescent="0.25">
      <c r="A16" t="s">
        <v>59</v>
      </c>
      <c r="B16">
        <v>161924</v>
      </c>
    </row>
    <row r="17" spans="1:2" x14ac:dyDescent="0.25">
      <c r="A17" t="s">
        <v>60</v>
      </c>
      <c r="B17">
        <v>216717</v>
      </c>
    </row>
    <row r="18" spans="1:2" x14ac:dyDescent="0.25">
      <c r="A18" t="s">
        <v>61</v>
      </c>
      <c r="B18">
        <v>258568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16" customWidth="1"/>
    <col min="3" max="4" width="14" customWidth="1"/>
    <col min="5" max="5" width="12" customWidth="1"/>
    <col min="6" max="6" width="10" customWidth="1"/>
    <col min="7" max="7" width="2" customWidth="1"/>
  </cols>
  <sheetData>
    <row r="1" spans="2:6" ht="5.0999999999999996" customHeight="1" x14ac:dyDescent="0.25"/>
    <row r="2" spans="2:6" ht="38.1" customHeight="1" x14ac:dyDescent="0.25">
      <c r="B2" s="42" t="s">
        <v>62</v>
      </c>
      <c r="C2" s="35"/>
      <c r="D2" s="35"/>
      <c r="E2" s="35"/>
      <c r="F2" s="35"/>
    </row>
    <row r="3" spans="2:6" ht="18" customHeight="1" x14ac:dyDescent="0.25">
      <c r="B3" s="43" t="s">
        <v>63</v>
      </c>
      <c r="C3" s="35"/>
      <c r="D3" s="35"/>
      <c r="E3" s="35"/>
      <c r="F3" s="35"/>
    </row>
    <row r="4" spans="2:6" ht="5.0999999999999996" customHeight="1" x14ac:dyDescent="0.25"/>
    <row r="5" spans="2:6" ht="18" customHeight="1" x14ac:dyDescent="0.25">
      <c r="B5" s="4" t="s">
        <v>9</v>
      </c>
      <c r="C5" s="4" t="s">
        <v>35</v>
      </c>
      <c r="D5" s="4" t="s">
        <v>10</v>
      </c>
      <c r="E5" s="4" t="s">
        <v>11</v>
      </c>
      <c r="F5" s="4" t="s">
        <v>12</v>
      </c>
    </row>
    <row r="6" spans="2:6" ht="15.95" customHeight="1" x14ac:dyDescent="0.25">
      <c r="B6" s="22" t="s">
        <v>18</v>
      </c>
      <c r="C6" s="22" t="s">
        <v>39</v>
      </c>
      <c r="D6" s="23">
        <v>757041.92440000002</v>
      </c>
      <c r="E6" s="23">
        <v>-64083.388700000003</v>
      </c>
      <c r="F6" s="24">
        <v>-8.4649722339736777E-2</v>
      </c>
    </row>
    <row r="7" spans="2:6" ht="15.95" customHeight="1" x14ac:dyDescent="0.25">
      <c r="B7" s="11" t="s">
        <v>20</v>
      </c>
      <c r="C7" s="11" t="s">
        <v>41</v>
      </c>
      <c r="D7" s="12">
        <v>83242.315900000001</v>
      </c>
      <c r="E7" s="12">
        <v>11525.4241</v>
      </c>
      <c r="F7" s="25">
        <v>0.13845631245826501</v>
      </c>
    </row>
    <row r="8" spans="2:6" ht="15.95" customHeight="1" x14ac:dyDescent="0.25">
      <c r="B8" s="5" t="s">
        <v>20</v>
      </c>
      <c r="C8" s="5" t="s">
        <v>43</v>
      </c>
      <c r="D8" s="6">
        <v>73404.03</v>
      </c>
      <c r="E8" s="6">
        <v>15010.512000000001</v>
      </c>
      <c r="F8" s="7">
        <v>0.20449166074396741</v>
      </c>
    </row>
    <row r="9" spans="2:6" ht="15.95" customHeight="1" x14ac:dyDescent="0.25">
      <c r="B9" s="11" t="s">
        <v>20</v>
      </c>
      <c r="C9" s="11" t="s">
        <v>45</v>
      </c>
      <c r="D9" s="12">
        <v>243074.2206</v>
      </c>
      <c r="E9" s="12">
        <v>22583.2631</v>
      </c>
      <c r="F9" s="16">
        <v>9.2906862127361281E-2</v>
      </c>
    </row>
    <row r="10" spans="2:6" ht="15.95" customHeight="1" x14ac:dyDescent="0.25">
      <c r="B10" s="5" t="s">
        <v>20</v>
      </c>
      <c r="C10" s="5" t="s">
        <v>47</v>
      </c>
      <c r="D10" s="6">
        <v>170904.30160000001</v>
      </c>
      <c r="E10" s="6">
        <v>29601.116300000002</v>
      </c>
      <c r="F10" s="7">
        <v>0.1732028744910187</v>
      </c>
    </row>
    <row r="11" spans="2:6" ht="15.95" customHeight="1" x14ac:dyDescent="0.25">
      <c r="B11" s="11" t="s">
        <v>18</v>
      </c>
      <c r="C11" s="11" t="s">
        <v>49</v>
      </c>
      <c r="D11" s="12">
        <v>385578.25589999999</v>
      </c>
      <c r="E11" s="12">
        <v>46967.425499999998</v>
      </c>
      <c r="F11" s="16">
        <v>0.1218103582899681</v>
      </c>
    </row>
    <row r="12" spans="2:6" ht="15.95" customHeight="1" x14ac:dyDescent="0.25">
      <c r="B12" s="5" t="s">
        <v>20</v>
      </c>
      <c r="C12" s="5" t="s">
        <v>51</v>
      </c>
      <c r="D12" s="6">
        <v>372091.96590000001</v>
      </c>
      <c r="E12" s="6">
        <v>57953.910900000003</v>
      </c>
      <c r="F12" s="7">
        <v>0.15575157813424861</v>
      </c>
    </row>
    <row r="13" spans="2:6" ht="15.95" customHeight="1" x14ac:dyDescent="0.25">
      <c r="B13" s="11" t="s">
        <v>16</v>
      </c>
      <c r="C13" s="11" t="s">
        <v>52</v>
      </c>
      <c r="D13" s="12">
        <v>779060.06709999999</v>
      </c>
      <c r="E13" s="12">
        <v>58867.873</v>
      </c>
      <c r="F13" s="13">
        <v>7.55626882778523E-2</v>
      </c>
    </row>
    <row r="14" spans="2:6" ht="15.95" customHeight="1" x14ac:dyDescent="0.25">
      <c r="B14" s="5" t="s">
        <v>20</v>
      </c>
      <c r="C14" s="5" t="s">
        <v>53</v>
      </c>
      <c r="D14" s="6">
        <v>244291.7194</v>
      </c>
      <c r="E14" s="6">
        <v>59207.682699999998</v>
      </c>
      <c r="F14" s="7">
        <v>0.24236467304507411</v>
      </c>
    </row>
    <row r="15" spans="2:6" ht="15.95" customHeight="1" x14ac:dyDescent="0.25">
      <c r="B15" s="11" t="s">
        <v>20</v>
      </c>
      <c r="C15" s="11" t="s">
        <v>54</v>
      </c>
      <c r="D15" s="12">
        <v>461911.50569999998</v>
      </c>
      <c r="E15" s="12">
        <v>72449.846000000005</v>
      </c>
      <c r="F15" s="25">
        <v>0.1568478920874822</v>
      </c>
    </row>
    <row r="16" spans="2:6" ht="15.95" customHeight="1" x14ac:dyDescent="0.25">
      <c r="B16" s="5" t="s">
        <v>20</v>
      </c>
      <c r="C16" s="5" t="s">
        <v>55</v>
      </c>
      <c r="D16" s="6">
        <v>1127085.8614000001</v>
      </c>
      <c r="E16" s="6">
        <v>108461.4898</v>
      </c>
      <c r="F16" s="10">
        <v>9.6231789888017477E-2</v>
      </c>
    </row>
    <row r="17" spans="2:6" ht="15.95" customHeight="1" x14ac:dyDescent="0.25">
      <c r="B17" s="11" t="s">
        <v>16</v>
      </c>
      <c r="C17" s="11" t="s">
        <v>56</v>
      </c>
      <c r="D17" s="12">
        <v>749237.01850000001</v>
      </c>
      <c r="E17" s="12">
        <v>129626.30620000001</v>
      </c>
      <c r="F17" s="25">
        <v>0.17301108060506221</v>
      </c>
    </row>
    <row r="18" spans="2:6" ht="15.95" customHeight="1" x14ac:dyDescent="0.25">
      <c r="B18" s="5" t="s">
        <v>18</v>
      </c>
      <c r="C18" s="5" t="s">
        <v>57</v>
      </c>
      <c r="D18" s="6">
        <v>1501681.7642000001</v>
      </c>
      <c r="E18" s="6">
        <v>140396.26749999999</v>
      </c>
      <c r="F18" s="10">
        <v>9.3492689894116229E-2</v>
      </c>
    </row>
    <row r="19" spans="2:6" ht="15.95" customHeight="1" x14ac:dyDescent="0.25">
      <c r="B19" s="11" t="s">
        <v>20</v>
      </c>
      <c r="C19" s="11" t="s">
        <v>58</v>
      </c>
      <c r="D19" s="12">
        <v>1011064.3050000001</v>
      </c>
      <c r="E19" s="12">
        <v>141680.5894</v>
      </c>
      <c r="F19" s="25">
        <v>0.140130146717028</v>
      </c>
    </row>
    <row r="20" spans="2:6" ht="15.95" customHeight="1" x14ac:dyDescent="0.25">
      <c r="B20" s="5" t="s">
        <v>18</v>
      </c>
      <c r="C20" s="5" t="s">
        <v>59</v>
      </c>
      <c r="D20" s="6">
        <v>1466572.2418</v>
      </c>
      <c r="E20" s="6">
        <v>161924.41949999999</v>
      </c>
      <c r="F20" s="10">
        <v>0.1104101215643232</v>
      </c>
    </row>
    <row r="21" spans="2:6" ht="15.95" customHeight="1" x14ac:dyDescent="0.25">
      <c r="B21" s="11" t="s">
        <v>16</v>
      </c>
      <c r="C21" s="11" t="s">
        <v>60</v>
      </c>
      <c r="D21" s="12">
        <v>1706824.1392000001</v>
      </c>
      <c r="E21" s="12">
        <v>216717.00580000001</v>
      </c>
      <c r="F21" s="16">
        <v>0.12697090509955919</v>
      </c>
    </row>
    <row r="22" spans="2:6" ht="15.95" customHeight="1" x14ac:dyDescent="0.25">
      <c r="B22" s="5" t="s">
        <v>16</v>
      </c>
      <c r="C22" s="5" t="s">
        <v>61</v>
      </c>
      <c r="D22" s="6">
        <v>1509436.2732800001</v>
      </c>
      <c r="E22" s="6">
        <v>258567.54818000001</v>
      </c>
      <c r="F22" s="7">
        <v>0.17130073839959711</v>
      </c>
    </row>
  </sheetData>
  <mergeCells count="2">
    <mergeCell ref="B2:F2"/>
    <mergeCell ref="B3:F3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9"/>
  <sheetViews>
    <sheetView showGridLines="0" workbookViewId="0"/>
  </sheetViews>
  <sheetFormatPr defaultRowHeight="15" x14ac:dyDescent="0.25"/>
  <cols>
    <col min="1" max="1" width="2" customWidth="1"/>
    <col min="2" max="2" width="7" customWidth="1"/>
    <col min="3" max="3" width="40" customWidth="1"/>
    <col min="4" max="4" width="68" customWidth="1"/>
    <col min="5" max="5" width="2" customWidth="1"/>
  </cols>
  <sheetData>
    <row r="1" spans="2:4" ht="5.0999999999999996" customHeight="1" x14ac:dyDescent="0.25"/>
    <row r="2" spans="2:4" ht="44.1" customHeight="1" x14ac:dyDescent="0.25">
      <c r="B2" s="47" t="s">
        <v>64</v>
      </c>
      <c r="C2" s="35"/>
      <c r="D2" s="35"/>
    </row>
    <row r="3" spans="2:4" ht="20.100000000000001" customHeight="1" x14ac:dyDescent="0.25">
      <c r="B3" s="39" t="s">
        <v>65</v>
      </c>
      <c r="C3" s="35"/>
      <c r="D3" s="35"/>
    </row>
    <row r="4" spans="2:4" ht="8.1" customHeight="1" x14ac:dyDescent="0.25"/>
    <row r="5" spans="2:4" ht="24" customHeight="1" x14ac:dyDescent="0.25">
      <c r="B5" s="45" t="s">
        <v>66</v>
      </c>
      <c r="C5" s="35"/>
      <c r="D5" s="35"/>
    </row>
    <row r="6" spans="2:4" ht="3.95" customHeight="1" x14ac:dyDescent="0.25"/>
    <row r="7" spans="2:4" ht="50.1" customHeight="1" x14ac:dyDescent="0.25">
      <c r="B7" s="26" t="s">
        <v>67</v>
      </c>
      <c r="C7" s="27" t="s">
        <v>68</v>
      </c>
      <c r="D7" s="28" t="s">
        <v>69</v>
      </c>
    </row>
    <row r="8" spans="2:4" ht="3.95" customHeight="1" x14ac:dyDescent="0.25"/>
    <row r="9" spans="2:4" ht="50.1" customHeight="1" x14ac:dyDescent="0.25">
      <c r="B9" s="26" t="s">
        <v>70</v>
      </c>
      <c r="C9" s="27" t="s">
        <v>71</v>
      </c>
      <c r="D9" s="28" t="s">
        <v>72</v>
      </c>
    </row>
    <row r="10" spans="2:4" ht="3.95" customHeight="1" x14ac:dyDescent="0.25"/>
    <row r="11" spans="2:4" ht="50.1" customHeight="1" x14ac:dyDescent="0.25">
      <c r="B11" s="26" t="s">
        <v>73</v>
      </c>
      <c r="C11" s="27" t="s">
        <v>74</v>
      </c>
      <c r="D11" s="28" t="s">
        <v>75</v>
      </c>
    </row>
    <row r="12" spans="2:4" ht="3.95" customHeight="1" x14ac:dyDescent="0.25"/>
    <row r="13" spans="2:4" ht="50.1" customHeight="1" x14ac:dyDescent="0.25">
      <c r="B13" s="26" t="s">
        <v>76</v>
      </c>
      <c r="C13" s="27" t="s">
        <v>77</v>
      </c>
      <c r="D13" s="28" t="s">
        <v>78</v>
      </c>
    </row>
    <row r="14" spans="2:4" ht="3.95" customHeight="1" x14ac:dyDescent="0.25"/>
    <row r="15" spans="2:4" ht="50.1" customHeight="1" x14ac:dyDescent="0.25">
      <c r="B15" s="26" t="s">
        <v>79</v>
      </c>
      <c r="C15" s="27" t="s">
        <v>80</v>
      </c>
      <c r="D15" s="28" t="s">
        <v>81</v>
      </c>
    </row>
    <row r="16" spans="2:4" ht="3.95" customHeight="1" x14ac:dyDescent="0.25"/>
    <row r="17" spans="2:4" ht="50.1" customHeight="1" x14ac:dyDescent="0.25">
      <c r="B17" s="26" t="s">
        <v>82</v>
      </c>
      <c r="C17" s="27" t="s">
        <v>83</v>
      </c>
      <c r="D17" s="28" t="s">
        <v>84</v>
      </c>
    </row>
    <row r="18" spans="2:4" ht="9.9499999999999993" customHeight="1" x14ac:dyDescent="0.25"/>
    <row r="19" spans="2:4" ht="24" customHeight="1" x14ac:dyDescent="0.25">
      <c r="B19" s="44" t="s">
        <v>85</v>
      </c>
      <c r="C19" s="35"/>
      <c r="D19" s="35"/>
    </row>
    <row r="20" spans="2:4" ht="3.95" customHeight="1" x14ac:dyDescent="0.25"/>
    <row r="21" spans="2:4" ht="50.1" customHeight="1" x14ac:dyDescent="0.25">
      <c r="B21" s="29" t="s">
        <v>86</v>
      </c>
      <c r="C21" s="30" t="s">
        <v>87</v>
      </c>
      <c r="D21" s="28" t="s">
        <v>88</v>
      </c>
    </row>
    <row r="22" spans="2:4" ht="3.95" customHeight="1" x14ac:dyDescent="0.25"/>
    <row r="23" spans="2:4" ht="50.1" customHeight="1" x14ac:dyDescent="0.25">
      <c r="B23" s="29" t="s">
        <v>89</v>
      </c>
      <c r="C23" s="30" t="s">
        <v>90</v>
      </c>
      <c r="D23" s="28" t="s">
        <v>91</v>
      </c>
    </row>
    <row r="24" spans="2:4" ht="3.95" customHeight="1" x14ac:dyDescent="0.25"/>
    <row r="25" spans="2:4" ht="50.1" customHeight="1" x14ac:dyDescent="0.25">
      <c r="B25" s="29" t="s">
        <v>92</v>
      </c>
      <c r="C25" s="30" t="s">
        <v>93</v>
      </c>
      <c r="D25" s="28" t="s">
        <v>94</v>
      </c>
    </row>
    <row r="26" spans="2:4" ht="3.95" customHeight="1" x14ac:dyDescent="0.25"/>
    <row r="27" spans="2:4" ht="50.1" customHeight="1" x14ac:dyDescent="0.25">
      <c r="B27" s="29" t="s">
        <v>95</v>
      </c>
      <c r="C27" s="30" t="s">
        <v>96</v>
      </c>
      <c r="D27" s="28" t="s">
        <v>97</v>
      </c>
    </row>
    <row r="28" spans="2:4" ht="8.1" customHeight="1" x14ac:dyDescent="0.25"/>
    <row r="29" spans="2:4" ht="15.95" customHeight="1" x14ac:dyDescent="0.25">
      <c r="B29" s="46" t="s">
        <v>98</v>
      </c>
      <c r="C29" s="35"/>
      <c r="D29" s="35"/>
    </row>
  </sheetData>
  <mergeCells count="5">
    <mergeCell ref="B3:D3"/>
    <mergeCell ref="B19:D19"/>
    <mergeCell ref="B5:D5"/>
    <mergeCell ref="B29:D29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1"/>
  <sheetViews>
    <sheetView showGridLines="0" workbookViewId="0">
      <selection activeCell="B2" sqref="B2:C11"/>
    </sheetView>
  </sheetViews>
  <sheetFormatPr defaultRowHeight="15" x14ac:dyDescent="0.25"/>
  <cols>
    <col min="1" max="1" width="2" customWidth="1"/>
    <col min="2" max="2" width="26.42578125" customWidth="1"/>
    <col min="3" max="3" width="30.28515625" customWidth="1"/>
    <col min="4" max="4" width="2" customWidth="1"/>
  </cols>
  <sheetData>
    <row r="1" spans="2:3" ht="5.0999999999999996" customHeight="1" x14ac:dyDescent="0.25"/>
    <row r="2" spans="2:3" ht="18.75" x14ac:dyDescent="0.25">
      <c r="B2" s="42" t="s">
        <v>99</v>
      </c>
      <c r="C2" s="35"/>
    </row>
    <row r="3" spans="2:3" x14ac:dyDescent="0.25">
      <c r="B3" s="43" t="s">
        <v>100</v>
      </c>
      <c r="C3" s="35"/>
    </row>
    <row r="5" spans="2:3" x14ac:dyDescent="0.25">
      <c r="B5" s="4" t="s">
        <v>37</v>
      </c>
      <c r="C5" s="4" t="s">
        <v>101</v>
      </c>
    </row>
    <row r="6" spans="2:3" x14ac:dyDescent="0.25">
      <c r="B6" s="31" t="s">
        <v>40</v>
      </c>
      <c r="C6" s="32">
        <v>0.26489806746586159</v>
      </c>
    </row>
    <row r="7" spans="2:3" x14ac:dyDescent="0.25">
      <c r="B7" s="31" t="s">
        <v>42</v>
      </c>
      <c r="C7" s="32">
        <v>0.17129313204985369</v>
      </c>
    </row>
    <row r="8" spans="2:3" x14ac:dyDescent="0.25">
      <c r="B8" s="17" t="s">
        <v>44</v>
      </c>
      <c r="C8" s="10">
        <v>0.13744969005752269</v>
      </c>
    </row>
    <row r="9" spans="2:3" x14ac:dyDescent="0.25">
      <c r="B9" s="33" t="s">
        <v>46</v>
      </c>
      <c r="C9" s="24">
        <v>-3.8510934802077817E-2</v>
      </c>
    </row>
    <row r="10" spans="2:3" x14ac:dyDescent="0.25">
      <c r="B10" s="33" t="s">
        <v>48</v>
      </c>
      <c r="C10" s="24">
        <v>-0.33793391054589872</v>
      </c>
    </row>
    <row r="11" spans="2:3" x14ac:dyDescent="0.25">
      <c r="B11" s="33" t="s">
        <v>50</v>
      </c>
      <c r="C11" s="24">
        <v>-1.14738512948212</v>
      </c>
    </row>
  </sheetData>
  <mergeCells count="2">
    <mergeCell ref="B3:C3"/>
    <mergeCell ref="B2:C2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Yearly Trend</vt:lpstr>
      <vt:lpstr>_ChartData</vt:lpstr>
      <vt:lpstr>Sub-Category Analysis</vt:lpstr>
      <vt:lpstr>Findings &amp; Recommendations</vt:lpstr>
      <vt:lpstr>Discount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Ogene Somto</cp:lastModifiedBy>
  <dcterms:created xsi:type="dcterms:W3CDTF">2026-06-17T11:39:06Z</dcterms:created>
  <dcterms:modified xsi:type="dcterms:W3CDTF">2026-06-17T11:46:20Z</dcterms:modified>
</cp:coreProperties>
</file>